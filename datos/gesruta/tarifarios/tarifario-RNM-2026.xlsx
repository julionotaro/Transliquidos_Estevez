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\Compartido\TARIFARIOS\"/>
    </mc:Choice>
  </mc:AlternateContent>
  <xr:revisionPtr revIDLastSave="0" documentId="13_ncr:1_{334917FC-F703-4397-A3FB-76DCF983AF56}" xr6:coauthVersionLast="47" xr6:coauthVersionMax="47" xr10:uidLastSave="{00000000-0000-0000-0000-000000000000}"/>
  <bookViews>
    <workbookView xWindow="-120" yWindow="-120" windowWidth="29040" windowHeight="15720" xr2:uid="{39D45E76-A94F-4875-A2C3-714AC37365B4}"/>
  </bookViews>
  <sheets>
    <sheet name="Hoja1" sheetId="1" r:id="rId1"/>
  </sheets>
  <definedNames>
    <definedName name="_xlnm._FilterDatabase" localSheetId="0" hidden="1">Hoja1!$C$4:$F$60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F30" i="1"/>
  <c r="E29" i="1"/>
  <c r="F29" i="1"/>
  <c r="F7" i="1"/>
  <c r="F6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28" i="1"/>
  <c r="F27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5" i="1"/>
  <c r="F22" i="1"/>
  <c r="E50" i="1"/>
  <c r="F50" i="1"/>
  <c r="E32" i="1"/>
  <c r="F32" i="1"/>
  <c r="E26" i="1"/>
  <c r="F26" i="1"/>
</calcChain>
</file>

<file path=xl/sharedStrings.xml><?xml version="1.0" encoding="utf-8"?>
<sst xmlns="http://schemas.openxmlformats.org/spreadsheetml/2006/main" count="128" uniqueCount="72">
  <si>
    <t>Origen</t>
  </si>
  <si>
    <t>Destino</t>
  </si>
  <si>
    <t>AVILES</t>
  </si>
  <si>
    <t>VILANOVA FAMALICAO</t>
  </si>
  <si>
    <t>ZAMUDIO</t>
  </si>
  <si>
    <t>ESTARREJA</t>
  </si>
  <si>
    <t>HUELVA</t>
  </si>
  <si>
    <t>BADAJOZ</t>
  </si>
  <si>
    <t>TORRELAVEGA</t>
  </si>
  <si>
    <t>PONTEVEDRA</t>
  </si>
  <si>
    <t>BARCELONA</t>
  </si>
  <si>
    <t>ALCANENA(PT)</t>
  </si>
  <si>
    <t>AVEIRO</t>
  </si>
  <si>
    <t>PORRIÑO</t>
  </si>
  <si>
    <t>GUADALAJARA</t>
  </si>
  <si>
    <t>NAVIA</t>
  </si>
  <si>
    <t>TARRAGONA</t>
  </si>
  <si>
    <t>JAEN</t>
  </si>
  <si>
    <t>LEZO</t>
  </si>
  <si>
    <t>CORUÑA</t>
  </si>
  <si>
    <t>AZAMBUJA(PT)</t>
  </si>
  <si>
    <t>SEVILLA</t>
  </si>
  <si>
    <t>Algeciras (CEPSA)</t>
  </si>
  <si>
    <t>Vilanova Da Rainha-Azambuja (Inchemica)</t>
  </si>
  <si>
    <t>Sevilla</t>
  </si>
  <si>
    <t>Guareña (Badajoz)</t>
  </si>
  <si>
    <t>Guadalajara</t>
  </si>
  <si>
    <t>Madrid</t>
  </si>
  <si>
    <t>Almeria</t>
  </si>
  <si>
    <t>Caceres</t>
  </si>
  <si>
    <t>Murcia</t>
  </si>
  <si>
    <t>Barcelona</t>
  </si>
  <si>
    <t>Tarragona</t>
  </si>
  <si>
    <t>Valencia</t>
  </si>
  <si>
    <t>Jerez de los Caballeros (Badajoz)</t>
  </si>
  <si>
    <t>Illescas (Toledo)</t>
  </si>
  <si>
    <t>Quintanar de la Orden (Toledo)</t>
  </si>
  <si>
    <t>Castellon</t>
  </si>
  <si>
    <t>TARIFAS GRUPO RNM -2026</t>
  </si>
  <si>
    <t>TOLEDO</t>
  </si>
  <si>
    <t>SILLEDA</t>
  </si>
  <si>
    <t>LANTARON</t>
  </si>
  <si>
    <t>ORENSE</t>
  </si>
  <si>
    <t>MEJORADA DEL CAMPO</t>
  </si>
  <si>
    <t>LEON</t>
  </si>
  <si>
    <t>OPORTO</t>
  </si>
  <si>
    <t>€/VIAJE</t>
  </si>
  <si>
    <t>€/TONELADA</t>
  </si>
  <si>
    <t>BURGOS</t>
  </si>
  <si>
    <t>CORDOBA</t>
  </si>
  <si>
    <t>COIMBRA</t>
  </si>
  <si>
    <t xml:space="preserve"> </t>
  </si>
  <si>
    <t>VIGO</t>
  </si>
  <si>
    <t>Vigo</t>
  </si>
  <si>
    <t>Arance  (Francia CP 64300)</t>
  </si>
  <si>
    <t>VALDEMORO</t>
  </si>
  <si>
    <t>Vitoria -Araia</t>
  </si>
  <si>
    <t>Badajoz</t>
  </si>
  <si>
    <t>Aviles</t>
  </si>
  <si>
    <t>Vendas Novas (PT)</t>
  </si>
  <si>
    <t>Viana do Castelo (PT)</t>
  </si>
  <si>
    <t>Aveiro</t>
  </si>
  <si>
    <t>Begega (asturias)</t>
  </si>
  <si>
    <t>V.de Famalicao</t>
  </si>
  <si>
    <t>Vitoria</t>
  </si>
  <si>
    <t>ARENAS DE IGUÑA (CANTABRIA)</t>
  </si>
  <si>
    <t>Coruña</t>
  </si>
  <si>
    <t>Estarreja</t>
  </si>
  <si>
    <t>Porriño</t>
  </si>
  <si>
    <t>Tordesillas</t>
  </si>
  <si>
    <t>Landim</t>
  </si>
  <si>
    <t>Ferrol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</si>
</sst>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8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4" fontId="1" fillId="0" borderId="0" xfId="1" applyFont="1" applyAlignment="1">
      <alignment horizontal="right" vertical="top"/>
    </xf>
    <xf numFmtId="164" fontId="0" fillId="0" borderId="0" xfId="0" applyNumberFormat="1" applyAlignment="1">
      <alignment wrapText="1"/>
    </xf>
    <xf numFmtId="44" fontId="2" fillId="0" borderId="0" xfId="1" applyFont="1" applyAlignment="1">
      <alignment horizontal="right" vertical="top"/>
    </xf>
    <xf numFmtId="44" fontId="0" fillId="0" borderId="0" xfId="0" applyNumberFormat="1"/>
    <xf numFmtId="0" fontId="2" fillId="0" borderId="0" xfId="0" applyFont="1"/>
    <xf numFmtId="44" fontId="1" fillId="0" borderId="0" xfId="1" applyFont="1"/>
    <xf numFmtId="4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54BE-7349-4F30-A110-EF1F8B8EACB8}">
  <dimension ref="C2:H65"/>
  <sheetViews>
    <sheetView tabSelected="1" topLeftCell="A45" workbookViewId="0">
      <selection activeCell="F66" sqref="F66"/>
    </sheetView>
  </sheetViews>
  <sheetFormatPr baseColWidth="10" defaultRowHeight="15" x14ac:dyDescent="0.25"/>
  <cols>
    <col min="3" max="4" width="35.140625" bestFit="1" customWidth="1"/>
    <col min="5" max="5" width="0" hidden="1" customWidth="1"/>
    <col min="6" max="6" width="13.5703125" customWidth="1"/>
  </cols>
  <sheetData>
    <row r="2" spans="3:6" x14ac:dyDescent="0.25">
      <c r="C2" s="10" t="s">
        <v>38</v>
      </c>
      <c r="D2" s="10"/>
      <c r="E2" s="10"/>
    </row>
    <row r="4" spans="3:6" ht="15.75" x14ac:dyDescent="0.25">
      <c r="C4" s="1" t="s">
        <v>0</v>
      </c>
      <c r="D4" s="1" t="s">
        <v>1</v>
      </c>
      <c r="E4" s="1" t="s">
        <v>46</v>
      </c>
      <c r="F4" s="1" t="s">
        <v>47</v>
      </c>
    </row>
    <row r="5" spans="3:6" x14ac:dyDescent="0.25">
      <c r="C5" t="s">
        <v>22</v>
      </c>
      <c r="D5" t="s">
        <v>23</v>
      </c>
      <c r="E5" s="4">
        <v>1184.5</v>
      </c>
      <c r="F5" s="8">
        <f>E5/23</f>
        <v>51.5</v>
      </c>
    </row>
    <row r="6" spans="3:6" x14ac:dyDescent="0.25">
      <c r="C6" t="s">
        <v>12</v>
      </c>
      <c r="D6" t="s">
        <v>48</v>
      </c>
      <c r="E6" s="4">
        <v>888</v>
      </c>
      <c r="F6" s="8">
        <f t="shared" ref="F6:F21" si="0">E6/23</f>
        <v>38.608695652173914</v>
      </c>
    </row>
    <row r="7" spans="3:6" x14ac:dyDescent="0.25">
      <c r="C7" t="s">
        <v>12</v>
      </c>
      <c r="D7" t="s">
        <v>49</v>
      </c>
      <c r="E7" s="4">
        <v>41</v>
      </c>
      <c r="F7" s="8">
        <f>E7*1.03</f>
        <v>42.230000000000004</v>
      </c>
    </row>
    <row r="8" spans="3:6" x14ac:dyDescent="0.25">
      <c r="C8" s="2" t="s">
        <v>12</v>
      </c>
      <c r="D8" s="2" t="s">
        <v>19</v>
      </c>
      <c r="E8" s="3">
        <v>669</v>
      </c>
      <c r="F8" s="8">
        <f t="shared" si="0"/>
        <v>29.086956521739129</v>
      </c>
    </row>
    <row r="9" spans="3:6" x14ac:dyDescent="0.25">
      <c r="C9" s="2" t="s">
        <v>12</v>
      </c>
      <c r="D9" s="2" t="s">
        <v>18</v>
      </c>
      <c r="E9" s="3">
        <v>1390</v>
      </c>
      <c r="F9" s="8">
        <f t="shared" si="0"/>
        <v>60.434782608695649</v>
      </c>
    </row>
    <row r="10" spans="3:6" x14ac:dyDescent="0.25">
      <c r="C10" s="2" t="s">
        <v>12</v>
      </c>
      <c r="D10" s="2" t="s">
        <v>15</v>
      </c>
      <c r="E10" s="3">
        <v>927</v>
      </c>
      <c r="F10" s="8">
        <f t="shared" si="0"/>
        <v>40.304347826086953</v>
      </c>
    </row>
    <row r="11" spans="3:6" x14ac:dyDescent="0.25">
      <c r="C11" s="2" t="s">
        <v>12</v>
      </c>
      <c r="D11" s="2" t="s">
        <v>9</v>
      </c>
      <c r="E11" s="3">
        <v>443</v>
      </c>
      <c r="F11" s="8">
        <f t="shared" si="0"/>
        <v>19.260869565217391</v>
      </c>
    </row>
    <row r="12" spans="3:6" x14ac:dyDescent="0.25">
      <c r="C12" s="2" t="s">
        <v>12</v>
      </c>
      <c r="D12" s="2" t="s">
        <v>13</v>
      </c>
      <c r="E12" s="3">
        <v>437</v>
      </c>
      <c r="F12" s="8">
        <f t="shared" si="0"/>
        <v>19</v>
      </c>
    </row>
    <row r="13" spans="3:6" x14ac:dyDescent="0.25">
      <c r="C13" s="2" t="s">
        <v>12</v>
      </c>
      <c r="D13" s="2" t="s">
        <v>39</v>
      </c>
      <c r="E13" s="3">
        <v>888</v>
      </c>
      <c r="F13" s="8">
        <f t="shared" si="0"/>
        <v>38.608695652173914</v>
      </c>
    </row>
    <row r="14" spans="3:6" x14ac:dyDescent="0.25">
      <c r="C14" s="2" t="s">
        <v>2</v>
      </c>
      <c r="D14" s="2" t="s">
        <v>11</v>
      </c>
      <c r="E14" s="3">
        <v>1236</v>
      </c>
      <c r="F14" s="8">
        <f t="shared" si="0"/>
        <v>53.739130434782609</v>
      </c>
    </row>
    <row r="15" spans="3:6" x14ac:dyDescent="0.25">
      <c r="C15" s="2" t="s">
        <v>2</v>
      </c>
      <c r="D15" s="2" t="s">
        <v>3</v>
      </c>
      <c r="E15" s="3">
        <v>900</v>
      </c>
      <c r="F15" s="8">
        <f t="shared" si="0"/>
        <v>39.130434782608695</v>
      </c>
    </row>
    <row r="16" spans="3:6" x14ac:dyDescent="0.25">
      <c r="C16" s="2" t="s">
        <v>20</v>
      </c>
      <c r="D16" s="2" t="s">
        <v>21</v>
      </c>
      <c r="E16" s="3">
        <v>840</v>
      </c>
      <c r="F16" s="8">
        <f t="shared" si="0"/>
        <v>36.521739130434781</v>
      </c>
    </row>
    <row r="17" spans="3:8" x14ac:dyDescent="0.25">
      <c r="C17" s="2" t="s">
        <v>20</v>
      </c>
      <c r="D17" s="2" t="s">
        <v>13</v>
      </c>
      <c r="E17" s="3">
        <v>686</v>
      </c>
      <c r="F17" s="8">
        <f t="shared" si="0"/>
        <v>29.826086956521738</v>
      </c>
    </row>
    <row r="18" spans="3:8" x14ac:dyDescent="0.25">
      <c r="C18" s="2" t="s">
        <v>20</v>
      </c>
      <c r="D18" s="2" t="s">
        <v>40</v>
      </c>
      <c r="E18" s="3">
        <v>886</v>
      </c>
      <c r="F18" s="8">
        <f t="shared" si="0"/>
        <v>38.521739130434781</v>
      </c>
    </row>
    <row r="19" spans="3:8" x14ac:dyDescent="0.25">
      <c r="C19" s="2" t="s">
        <v>10</v>
      </c>
      <c r="D19" s="2" t="s">
        <v>13</v>
      </c>
      <c r="E19" s="3">
        <v>1643</v>
      </c>
      <c r="F19" s="8">
        <f t="shared" si="0"/>
        <v>71.434782608695656</v>
      </c>
    </row>
    <row r="20" spans="3:8" x14ac:dyDescent="0.25">
      <c r="C20" s="2" t="s">
        <v>10</v>
      </c>
      <c r="D20" s="2" t="s">
        <v>3</v>
      </c>
      <c r="E20" s="3">
        <v>1957</v>
      </c>
      <c r="F20" s="8">
        <f t="shared" si="0"/>
        <v>85.086956521739125</v>
      </c>
    </row>
    <row r="21" spans="3:8" x14ac:dyDescent="0.25">
      <c r="C21" s="2" t="s">
        <v>41</v>
      </c>
      <c r="D21" s="2" t="s">
        <v>42</v>
      </c>
      <c r="E21" s="3">
        <v>1043</v>
      </c>
      <c r="F21" s="8">
        <f t="shared" si="0"/>
        <v>45.347826086956523</v>
      </c>
    </row>
    <row r="22" spans="3:8" x14ac:dyDescent="0.25">
      <c r="C22" s="2" t="s">
        <v>43</v>
      </c>
      <c r="D22" s="2" t="s">
        <v>13</v>
      </c>
      <c r="E22" s="5">
        <v>35</v>
      </c>
      <c r="F22" s="6">
        <f>E22*1.03</f>
        <v>36.050000000000004</v>
      </c>
    </row>
    <row r="23" spans="3:8" x14ac:dyDescent="0.25">
      <c r="C23" s="2" t="s">
        <v>5</v>
      </c>
      <c r="D23" s="2" t="s">
        <v>7</v>
      </c>
      <c r="E23" s="3">
        <v>618</v>
      </c>
      <c r="F23" s="8">
        <f t="shared" ref="F23:F49" si="1">E23/23</f>
        <v>26.869565217391305</v>
      </c>
    </row>
    <row r="24" spans="3:8" x14ac:dyDescent="0.25">
      <c r="C24" s="2" t="s">
        <v>5</v>
      </c>
      <c r="D24" s="2" t="s">
        <v>6</v>
      </c>
      <c r="E24" s="3">
        <v>990</v>
      </c>
      <c r="F24" s="8">
        <f t="shared" si="1"/>
        <v>43.043478260869563</v>
      </c>
    </row>
    <row r="25" spans="3:8" x14ac:dyDescent="0.25">
      <c r="C25" s="2" t="s">
        <v>5</v>
      </c>
      <c r="D25" s="2" t="s">
        <v>6</v>
      </c>
      <c r="E25" s="3">
        <v>988.80000000000007</v>
      </c>
      <c r="F25" s="8">
        <f t="shared" si="1"/>
        <v>42.991304347826087</v>
      </c>
    </row>
    <row r="26" spans="3:8" x14ac:dyDescent="0.25">
      <c r="C26" s="2" t="s">
        <v>45</v>
      </c>
      <c r="D26" s="2" t="s">
        <v>44</v>
      </c>
      <c r="E26" s="3">
        <f>1082*1.03</f>
        <v>1114.46</v>
      </c>
      <c r="F26" s="8">
        <f t="shared" si="1"/>
        <v>48.454782608695652</v>
      </c>
    </row>
    <row r="27" spans="3:8" x14ac:dyDescent="0.25">
      <c r="C27" s="2" t="s">
        <v>9</v>
      </c>
      <c r="D27" s="2" t="s">
        <v>15</v>
      </c>
      <c r="E27" s="3">
        <v>721</v>
      </c>
      <c r="F27" s="8">
        <f t="shared" si="1"/>
        <v>31.347826086956523</v>
      </c>
    </row>
    <row r="28" spans="3:8" x14ac:dyDescent="0.25">
      <c r="C28" s="2" t="s">
        <v>13</v>
      </c>
      <c r="D28" s="2" t="s">
        <v>39</v>
      </c>
      <c r="E28" s="3">
        <v>865</v>
      </c>
      <c r="F28" s="8">
        <f t="shared" si="1"/>
        <v>37.608695652173914</v>
      </c>
      <c r="H28" t="s">
        <v>51</v>
      </c>
    </row>
    <row r="29" spans="3:8" x14ac:dyDescent="0.25">
      <c r="C29" s="2" t="s">
        <v>16</v>
      </c>
      <c r="D29" s="2" t="s">
        <v>12</v>
      </c>
      <c r="E29" s="3">
        <f>1900*1.03</f>
        <v>1957</v>
      </c>
      <c r="F29" s="8">
        <f t="shared" si="1"/>
        <v>85.086956521739125</v>
      </c>
    </row>
    <row r="30" spans="3:8" x14ac:dyDescent="0.25">
      <c r="C30" s="2" t="s">
        <v>16</v>
      </c>
      <c r="D30" s="2" t="s">
        <v>50</v>
      </c>
      <c r="E30" s="3">
        <f>1900*1.03</f>
        <v>1957</v>
      </c>
      <c r="F30" s="8">
        <f t="shared" si="1"/>
        <v>85.086956521739125</v>
      </c>
    </row>
    <row r="31" spans="3:8" x14ac:dyDescent="0.25">
      <c r="C31" s="2" t="s">
        <v>16</v>
      </c>
      <c r="D31" s="2" t="s">
        <v>17</v>
      </c>
      <c r="E31" s="3">
        <v>989</v>
      </c>
      <c r="F31" s="8">
        <f t="shared" si="1"/>
        <v>43</v>
      </c>
    </row>
    <row r="32" spans="3:8" x14ac:dyDescent="0.25">
      <c r="C32" s="2" t="s">
        <v>16</v>
      </c>
      <c r="D32" s="2" t="s">
        <v>13</v>
      </c>
      <c r="E32" s="3">
        <f>1615*1.03</f>
        <v>1663.45</v>
      </c>
      <c r="F32" s="8">
        <f t="shared" si="1"/>
        <v>72.323913043478257</v>
      </c>
    </row>
    <row r="33" spans="3:6" x14ac:dyDescent="0.25">
      <c r="C33" s="2" t="s">
        <v>8</v>
      </c>
      <c r="D33" s="2" t="s">
        <v>9</v>
      </c>
      <c r="E33" s="3">
        <v>1000</v>
      </c>
      <c r="F33" s="8">
        <f t="shared" si="1"/>
        <v>43.478260869565219</v>
      </c>
    </row>
    <row r="34" spans="3:6" x14ac:dyDescent="0.25">
      <c r="C34" t="s">
        <v>23</v>
      </c>
      <c r="D34" t="s">
        <v>28</v>
      </c>
      <c r="E34" s="4">
        <v>1596.5</v>
      </c>
      <c r="F34" s="8">
        <f t="shared" si="1"/>
        <v>69.413043478260875</v>
      </c>
    </row>
    <row r="35" spans="3:6" x14ac:dyDescent="0.25">
      <c r="C35" t="s">
        <v>23</v>
      </c>
      <c r="D35" t="s">
        <v>31</v>
      </c>
      <c r="E35" s="4">
        <v>2163</v>
      </c>
      <c r="F35" s="8">
        <f t="shared" si="1"/>
        <v>94.043478260869563</v>
      </c>
    </row>
    <row r="36" spans="3:6" x14ac:dyDescent="0.25">
      <c r="C36" t="s">
        <v>23</v>
      </c>
      <c r="D36" t="s">
        <v>29</v>
      </c>
      <c r="E36" s="4">
        <v>721</v>
      </c>
      <c r="F36" s="8">
        <f t="shared" si="1"/>
        <v>31.347826086956523</v>
      </c>
    </row>
    <row r="37" spans="3:6" x14ac:dyDescent="0.25">
      <c r="C37" t="s">
        <v>23</v>
      </c>
      <c r="D37" t="s">
        <v>37</v>
      </c>
      <c r="E37" s="4">
        <v>1725.25</v>
      </c>
      <c r="F37" s="8">
        <f t="shared" si="1"/>
        <v>75.010869565217391</v>
      </c>
    </row>
    <row r="38" spans="3:6" x14ac:dyDescent="0.25">
      <c r="C38" t="s">
        <v>23</v>
      </c>
      <c r="D38" t="s">
        <v>26</v>
      </c>
      <c r="E38" s="4">
        <v>1216</v>
      </c>
      <c r="F38" s="8">
        <f t="shared" si="1"/>
        <v>52.869565217391305</v>
      </c>
    </row>
    <row r="39" spans="3:6" x14ac:dyDescent="0.25">
      <c r="C39" t="s">
        <v>23</v>
      </c>
      <c r="D39" t="s">
        <v>25</v>
      </c>
      <c r="E39" s="4">
        <v>721</v>
      </c>
      <c r="F39" s="8">
        <f t="shared" si="1"/>
        <v>31.347826086956523</v>
      </c>
    </row>
    <row r="40" spans="3:6" x14ac:dyDescent="0.25">
      <c r="C40" t="s">
        <v>23</v>
      </c>
      <c r="D40" t="s">
        <v>35</v>
      </c>
      <c r="E40" s="4">
        <v>1081.5</v>
      </c>
      <c r="F40" s="8">
        <f t="shared" si="1"/>
        <v>47.021739130434781</v>
      </c>
    </row>
    <row r="41" spans="3:6" x14ac:dyDescent="0.25">
      <c r="C41" t="s">
        <v>23</v>
      </c>
      <c r="D41" t="s">
        <v>34</v>
      </c>
      <c r="E41" s="4">
        <v>618</v>
      </c>
      <c r="F41" s="8">
        <f t="shared" si="1"/>
        <v>26.869565217391305</v>
      </c>
    </row>
    <row r="42" spans="3:6" x14ac:dyDescent="0.25">
      <c r="C42" t="s">
        <v>23</v>
      </c>
      <c r="D42" t="s">
        <v>27</v>
      </c>
      <c r="E42" s="4">
        <v>1081.5</v>
      </c>
      <c r="F42" s="8">
        <f t="shared" si="1"/>
        <v>47.021739130434781</v>
      </c>
    </row>
    <row r="43" spans="3:6" x14ac:dyDescent="0.25">
      <c r="C43" t="s">
        <v>23</v>
      </c>
      <c r="D43" t="s">
        <v>30</v>
      </c>
      <c r="E43" s="4">
        <v>1699.5</v>
      </c>
      <c r="F43" s="8">
        <f t="shared" si="1"/>
        <v>73.891304347826093</v>
      </c>
    </row>
    <row r="44" spans="3:6" x14ac:dyDescent="0.25">
      <c r="C44" t="s">
        <v>23</v>
      </c>
      <c r="D44" t="s">
        <v>36</v>
      </c>
      <c r="E44" s="4">
        <v>1318.4</v>
      </c>
      <c r="F44" s="8">
        <f t="shared" si="1"/>
        <v>57.321739130434786</v>
      </c>
    </row>
    <row r="45" spans="3:6" x14ac:dyDescent="0.25">
      <c r="C45" t="s">
        <v>23</v>
      </c>
      <c r="D45" t="s">
        <v>24</v>
      </c>
      <c r="E45" s="4">
        <v>840</v>
      </c>
      <c r="F45" s="8">
        <f t="shared" si="1"/>
        <v>36.521739130434781</v>
      </c>
    </row>
    <row r="46" spans="3:6" x14ac:dyDescent="0.25">
      <c r="C46" t="s">
        <v>23</v>
      </c>
      <c r="D46" t="s">
        <v>32</v>
      </c>
      <c r="E46" s="4">
        <v>2034.25</v>
      </c>
      <c r="F46" s="8">
        <f t="shared" si="1"/>
        <v>88.445652173913047</v>
      </c>
    </row>
    <row r="47" spans="3:6" x14ac:dyDescent="0.25">
      <c r="C47" t="s">
        <v>23</v>
      </c>
      <c r="D47" t="s">
        <v>33</v>
      </c>
      <c r="E47" s="4">
        <v>1627.4</v>
      </c>
      <c r="F47" s="8">
        <f t="shared" si="1"/>
        <v>70.756521739130434</v>
      </c>
    </row>
    <row r="48" spans="3:6" x14ac:dyDescent="0.25">
      <c r="C48" s="2" t="s">
        <v>3</v>
      </c>
      <c r="D48" s="2" t="s">
        <v>14</v>
      </c>
      <c r="E48" s="3">
        <v>1159</v>
      </c>
      <c r="F48" s="8">
        <f t="shared" si="1"/>
        <v>50.391304347826086</v>
      </c>
    </row>
    <row r="49" spans="3:6" x14ac:dyDescent="0.25">
      <c r="C49" s="2" t="s">
        <v>4</v>
      </c>
      <c r="D49" s="2" t="s">
        <v>3</v>
      </c>
      <c r="E49" s="3">
        <v>1185</v>
      </c>
      <c r="F49" s="8">
        <f t="shared" si="1"/>
        <v>51.521739130434781</v>
      </c>
    </row>
    <row r="50" spans="3:6" x14ac:dyDescent="0.25">
      <c r="C50" t="s">
        <v>4</v>
      </c>
      <c r="D50" t="s">
        <v>13</v>
      </c>
      <c r="E50" s="7">
        <f>42</f>
        <v>42</v>
      </c>
      <c r="F50" s="8">
        <f>E50*1.03</f>
        <v>43.26</v>
      </c>
    </row>
    <row r="51" spans="3:6" x14ac:dyDescent="0.25">
      <c r="C51" s="2" t="s">
        <v>5</v>
      </c>
      <c r="D51" s="2" t="s">
        <v>55</v>
      </c>
      <c r="F51" s="8">
        <v>40</v>
      </c>
    </row>
    <row r="52" spans="3:6" x14ac:dyDescent="0.25">
      <c r="C52" t="s">
        <v>52</v>
      </c>
      <c r="D52" t="s">
        <v>14</v>
      </c>
      <c r="F52" s="8">
        <v>66</v>
      </c>
    </row>
    <row r="53" spans="3:6" x14ac:dyDescent="0.25">
      <c r="C53" t="s">
        <v>53</v>
      </c>
      <c r="D53" t="s">
        <v>54</v>
      </c>
      <c r="F53" s="8">
        <v>72.5</v>
      </c>
    </row>
    <row r="54" spans="3:6" x14ac:dyDescent="0.25">
      <c r="C54" t="s">
        <v>53</v>
      </c>
      <c r="D54" t="s">
        <v>56</v>
      </c>
      <c r="F54" s="8">
        <v>56.5</v>
      </c>
    </row>
    <row r="55" spans="3:6" x14ac:dyDescent="0.25">
      <c r="C55" t="s">
        <v>58</v>
      </c>
      <c r="D55" t="s">
        <v>57</v>
      </c>
      <c r="F55" s="8">
        <v>55</v>
      </c>
    </row>
    <row r="56" spans="3:6" x14ac:dyDescent="0.25">
      <c r="C56" t="s">
        <v>58</v>
      </c>
      <c r="D56" t="s">
        <v>59</v>
      </c>
      <c r="F56" s="9">
        <v>65</v>
      </c>
    </row>
    <row r="57" spans="3:6" x14ac:dyDescent="0.25">
      <c r="C57" t="s">
        <v>58</v>
      </c>
      <c r="D57" t="s">
        <v>60</v>
      </c>
      <c r="F57" s="9">
        <v>36.5</v>
      </c>
    </row>
    <row r="58" spans="3:6" x14ac:dyDescent="0.25">
      <c r="C58" t="s">
        <v>61</v>
      </c>
      <c r="D58" t="s">
        <v>62</v>
      </c>
      <c r="F58" s="8">
        <v>43</v>
      </c>
    </row>
    <row r="59" spans="3:6" x14ac:dyDescent="0.25">
      <c r="C59" t="s">
        <v>63</v>
      </c>
      <c r="D59" t="s">
        <v>64</v>
      </c>
      <c r="F59" s="8">
        <v>50</v>
      </c>
    </row>
    <row r="60" spans="3:6" x14ac:dyDescent="0.25">
      <c r="C60" t="s">
        <v>12</v>
      </c>
      <c r="D60" t="s">
        <v>65</v>
      </c>
      <c r="F60" s="8">
        <v>53</v>
      </c>
    </row>
    <row r="61" spans="3:6" x14ac:dyDescent="0.25">
      <c r="C61" t="s">
        <v>58</v>
      </c>
      <c r="D61" s="2" t="s">
        <v>3</v>
      </c>
      <c r="F61" s="8">
        <v>39.130000000000003</v>
      </c>
    </row>
    <row r="62" spans="3:6" x14ac:dyDescent="0.25">
      <c r="C62" t="s">
        <v>61</v>
      </c>
      <c r="D62" t="s">
        <v>66</v>
      </c>
      <c r="F62" s="8">
        <v>29.09</v>
      </c>
    </row>
    <row r="63" spans="3:6" x14ac:dyDescent="0.25">
      <c r="C63" t="s">
        <v>67</v>
      </c>
      <c r="D63" t="s">
        <v>68</v>
      </c>
      <c r="F63" s="8">
        <v>19.260000000000002</v>
      </c>
    </row>
    <row r="64" spans="3:6" x14ac:dyDescent="0.25">
      <c r="C64" t="s">
        <v>61</v>
      </c>
      <c r="D64" t="s">
        <v>69</v>
      </c>
      <c r="F64" s="8">
        <v>32.5</v>
      </c>
    </row>
    <row r="65" spans="3:6" x14ac:dyDescent="0.25">
      <c r="C65" t="s">
        <v>70</v>
      </c>
      <c r="D65" t="s">
        <v>71</v>
      </c>
      <c r="F65" s="8">
        <v>24.75</v>
      </c>
    </row>
  </sheetData>
  <autoFilter ref="C4:F60" xr:uid="{A3C80B7E-E41B-43B6-B652-C5DDBB0D978C}"/>
  <mergeCells count="1">
    <mergeCell ref="C2:E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Ángeles Estévez</dc:creator>
  <cp:lastModifiedBy>Operaciones</cp:lastModifiedBy>
  <dcterms:created xsi:type="dcterms:W3CDTF">2026-01-21T11:33:29Z</dcterms:created>
  <dcterms:modified xsi:type="dcterms:W3CDTF">2026-09-24T08:51:10Z</dcterms:modified>
</cp:coreProperties>
</file>